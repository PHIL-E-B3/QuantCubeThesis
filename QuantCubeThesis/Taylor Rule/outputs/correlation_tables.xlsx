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ecparis-my.sharepoint.com/personal/guillermo-luis_alejo-alvarez_hec_edu/Documents/Documentos/QuantCubeThesis/QuantCubeThesis/Taylor Rule/outputs/"/>
    </mc:Choice>
  </mc:AlternateContent>
  <xr:revisionPtr revIDLastSave="17" documentId="11_D04D3CC55B77544A24644AE7F096E2EAABADD10A" xr6:coauthVersionLast="47" xr6:coauthVersionMax="47" xr10:uidLastSave="{0392B90A-C7C2-4E0F-98AC-77B829D18A13}"/>
  <bookViews>
    <workbookView xWindow="-108" yWindow="-108" windowWidth="23256" windowHeight="12576" xr2:uid="{00000000-000D-0000-FFFF-FFFF00000000}"/>
  </bookViews>
  <sheets>
    <sheet name="LLM" sheetId="1" r:id="rId1"/>
    <sheet name="Gardner" sheetId="2" r:id="rId2"/>
    <sheet name="Shar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B36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B29" i="1"/>
  <c r="B30" i="1"/>
  <c r="B31" i="1"/>
  <c r="B32" i="1"/>
  <c r="B33" i="1"/>
  <c r="B28" i="1"/>
</calcChain>
</file>

<file path=xl/sharedStrings.xml><?xml version="1.0" encoding="utf-8"?>
<sst xmlns="http://schemas.openxmlformats.org/spreadsheetml/2006/main" count="193" uniqueCount="38">
  <si>
    <t>FFR(t)</t>
  </si>
  <si>
    <t>FFR(t+1)</t>
  </si>
  <si>
    <t>ΔFFR</t>
  </si>
  <si>
    <t>2yr Yld</t>
  </si>
  <si>
    <t>10yr Yld</t>
  </si>
  <si>
    <t>Term Spr</t>
  </si>
  <si>
    <t>Core CPI</t>
  </si>
  <si>
    <t>Core PCE</t>
  </si>
  <si>
    <t>Inf Dev</t>
  </si>
  <si>
    <t>BEI 10yr</t>
  </si>
  <si>
    <t>Inf 5y5y</t>
  </si>
  <si>
    <t>Mich Inf</t>
  </si>
  <si>
    <t>Unemp</t>
  </si>
  <si>
    <t>Unemp Gap</t>
  </si>
  <si>
    <t>CFNAI</t>
  </si>
  <si>
    <t>GDP</t>
  </si>
  <si>
    <t>VIX</t>
  </si>
  <si>
    <t>NFCI</t>
  </si>
  <si>
    <t>EBP</t>
  </si>
  <si>
    <t>SPF CPI</t>
  </si>
  <si>
    <t>SPF GDP</t>
  </si>
  <si>
    <t>SPF Unemp</t>
  </si>
  <si>
    <t>Total</t>
  </si>
  <si>
    <t>Inflation</t>
  </si>
  <si>
    <t>Labor Mkt</t>
  </si>
  <si>
    <t>Econ Act</t>
  </si>
  <si>
    <t>Fin Cond</t>
  </si>
  <si>
    <t>Mon Policy</t>
  </si>
  <si>
    <t>Macro</t>
  </si>
  <si>
    <t>Positive</t>
  </si>
  <si>
    <t>Negative</t>
  </si>
  <si>
    <t>Net</t>
  </si>
  <si>
    <t>Consensus</t>
  </si>
  <si>
    <t>LLM</t>
  </si>
  <si>
    <t>Gardner</t>
  </si>
  <si>
    <t>Sharpe</t>
  </si>
  <si>
    <t>LLM/Gardner</t>
  </si>
  <si>
    <t>LLM/Gardner/Sharpe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</si>
</sst>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topLeftCell="C19" workbookViewId="0">
      <selection activeCell="E38" sqref="E38"/>
    </sheetView>
  </sheetViews>
  <sheetFormatPr defaultRowHeight="14.4" x14ac:dyDescent="0.3"/>
  <sheetData>
    <row r="1" spans="1:23" x14ac:dyDescent="0.3">
      <c r="A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22</v>
      </c>
      <c r="B2">
        <v>0.26800000000000002</v>
      </c>
      <c r="C2">
        <v>0.312</v>
      </c>
      <c r="D2">
        <v>0.29699999999999999</v>
      </c>
      <c r="E2">
        <v>0.36799999999999999</v>
      </c>
      <c r="F2">
        <v>0.24199999999999999</v>
      </c>
      <c r="G2">
        <v>-0.34399999999999997</v>
      </c>
      <c r="H2">
        <v>0.4</v>
      </c>
      <c r="I2">
        <v>0.39600000000000002</v>
      </c>
      <c r="J2">
        <v>0.39600000000000002</v>
      </c>
      <c r="K2">
        <v>0.245</v>
      </c>
      <c r="L2">
        <v>4.7E-2</v>
      </c>
      <c r="M2">
        <v>0.13</v>
      </c>
      <c r="N2">
        <v>-0.39</v>
      </c>
      <c r="O2">
        <v>-0.38200000000000001</v>
      </c>
      <c r="P2">
        <v>8.4000000000000005E-2</v>
      </c>
      <c r="Q2">
        <v>6.3E-2</v>
      </c>
      <c r="R2">
        <v>-8.5999999999999993E-2</v>
      </c>
      <c r="S2">
        <v>-0.217</v>
      </c>
      <c r="T2">
        <v>-0.153</v>
      </c>
      <c r="U2">
        <v>0.36399999999999999</v>
      </c>
      <c r="V2">
        <v>5.0999999999999997E-2</v>
      </c>
      <c r="W2">
        <v>-0.34799999999999998</v>
      </c>
    </row>
    <row r="3" spans="1:23" x14ac:dyDescent="0.3">
      <c r="A3" s="1" t="s">
        <v>23</v>
      </c>
      <c r="B3">
        <v>0.42699999999999999</v>
      </c>
      <c r="C3">
        <v>0.46300000000000002</v>
      </c>
      <c r="D3">
        <v>0.26700000000000002</v>
      </c>
      <c r="E3">
        <v>0.502</v>
      </c>
      <c r="F3">
        <v>0.40400000000000003</v>
      </c>
      <c r="G3">
        <v>-0.371</v>
      </c>
      <c r="H3">
        <v>0.70899999999999996</v>
      </c>
      <c r="I3">
        <v>0.70899999999999996</v>
      </c>
      <c r="J3">
        <v>0.70899999999999996</v>
      </c>
      <c r="K3">
        <v>0.38400000000000001</v>
      </c>
      <c r="L3">
        <v>0.183</v>
      </c>
      <c r="M3">
        <v>0.47099999999999997</v>
      </c>
      <c r="N3">
        <v>-0.33400000000000002</v>
      </c>
      <c r="O3">
        <v>-0.29499999999999998</v>
      </c>
      <c r="P3">
        <v>-0.02</v>
      </c>
      <c r="Q3">
        <v>0.20399999999999999</v>
      </c>
      <c r="R3">
        <v>8.5999999999999993E-2</v>
      </c>
      <c r="S3">
        <v>0.105</v>
      </c>
      <c r="T3">
        <v>-8.1000000000000003E-2</v>
      </c>
      <c r="U3">
        <v>0.53700000000000003</v>
      </c>
      <c r="V3">
        <v>9.5000000000000001E-2</v>
      </c>
      <c r="W3">
        <v>-0.33600000000000002</v>
      </c>
    </row>
    <row r="4" spans="1:23" x14ac:dyDescent="0.3">
      <c r="A4" s="1" t="s">
        <v>24</v>
      </c>
      <c r="B4">
        <v>0.27900000000000003</v>
      </c>
      <c r="C4">
        <v>0.32100000000000001</v>
      </c>
      <c r="D4">
        <v>0.25600000000000001</v>
      </c>
      <c r="E4">
        <v>0.315</v>
      </c>
      <c r="F4">
        <v>0.14699999999999999</v>
      </c>
      <c r="G4">
        <v>-0.374</v>
      </c>
      <c r="H4">
        <v>0.26700000000000002</v>
      </c>
      <c r="I4">
        <v>0.22500000000000001</v>
      </c>
      <c r="J4">
        <v>0.22500000000000001</v>
      </c>
      <c r="K4">
        <v>-4.2999999999999997E-2</v>
      </c>
      <c r="L4">
        <v>-0.2</v>
      </c>
      <c r="M4">
        <v>-9.5000000000000001E-2</v>
      </c>
      <c r="N4">
        <v>-0.51700000000000002</v>
      </c>
      <c r="O4">
        <v>-0.52300000000000002</v>
      </c>
      <c r="P4">
        <v>4.4999999999999998E-2</v>
      </c>
      <c r="Q4">
        <v>0.05</v>
      </c>
      <c r="R4">
        <v>-0.14799999999999999</v>
      </c>
      <c r="S4">
        <v>-0.106</v>
      </c>
      <c r="T4">
        <v>8.5000000000000006E-2</v>
      </c>
      <c r="U4">
        <v>0.128</v>
      </c>
      <c r="V4">
        <v>7.0999999999999994E-2</v>
      </c>
      <c r="W4">
        <v>-0.502</v>
      </c>
    </row>
    <row r="5" spans="1:23" x14ac:dyDescent="0.3">
      <c r="A5" s="1" t="s">
        <v>25</v>
      </c>
      <c r="B5">
        <v>0.255</v>
      </c>
      <c r="C5">
        <v>0.27300000000000002</v>
      </c>
      <c r="D5">
        <v>0.127</v>
      </c>
      <c r="E5">
        <v>0.34699999999999998</v>
      </c>
      <c r="F5">
        <v>0.318</v>
      </c>
      <c r="G5">
        <v>-0.20499999999999999</v>
      </c>
      <c r="H5">
        <v>3.4000000000000002E-2</v>
      </c>
      <c r="I5">
        <v>8.8999999999999996E-2</v>
      </c>
      <c r="J5">
        <v>8.8999999999999996E-2</v>
      </c>
      <c r="K5">
        <v>0.17299999999999999</v>
      </c>
      <c r="L5">
        <v>0.04</v>
      </c>
      <c r="M5">
        <v>-0.11</v>
      </c>
      <c r="N5">
        <v>-0.32700000000000001</v>
      </c>
      <c r="O5">
        <v>-0.33200000000000002</v>
      </c>
      <c r="P5">
        <v>0.156</v>
      </c>
      <c r="Q5">
        <v>-4.3999999999999997E-2</v>
      </c>
      <c r="R5">
        <v>-0.23</v>
      </c>
      <c r="S5">
        <v>-0.34100000000000003</v>
      </c>
      <c r="T5">
        <v>-0.159</v>
      </c>
      <c r="U5">
        <v>2.7E-2</v>
      </c>
      <c r="V5">
        <v>-3.2000000000000001E-2</v>
      </c>
      <c r="W5">
        <v>-0.26600000000000001</v>
      </c>
    </row>
    <row r="6" spans="1:23" x14ac:dyDescent="0.3">
      <c r="A6" s="1" t="s">
        <v>26</v>
      </c>
      <c r="B6">
        <v>2.3E-2</v>
      </c>
      <c r="C6">
        <v>3.6999999999999998E-2</v>
      </c>
      <c r="D6">
        <v>6.5000000000000002E-2</v>
      </c>
      <c r="E6">
        <v>5.6000000000000001E-2</v>
      </c>
      <c r="F6">
        <v>-0.01</v>
      </c>
      <c r="G6">
        <v>-0.11600000000000001</v>
      </c>
      <c r="H6">
        <v>2.5999999999999999E-2</v>
      </c>
      <c r="I6">
        <v>3.1E-2</v>
      </c>
      <c r="J6">
        <v>3.1E-2</v>
      </c>
      <c r="K6">
        <v>7.0999999999999994E-2</v>
      </c>
      <c r="L6">
        <v>-2.5000000000000001E-2</v>
      </c>
      <c r="M6">
        <v>-0.127</v>
      </c>
      <c r="N6">
        <v>-0.183</v>
      </c>
      <c r="O6">
        <v>-0.188</v>
      </c>
      <c r="P6">
        <v>0.10100000000000001</v>
      </c>
      <c r="Q6">
        <v>-4.2999999999999997E-2</v>
      </c>
      <c r="R6">
        <v>-0.161</v>
      </c>
      <c r="S6">
        <v>-0.371</v>
      </c>
      <c r="T6">
        <v>-0.219</v>
      </c>
      <c r="U6">
        <v>6.7000000000000004E-2</v>
      </c>
      <c r="V6">
        <v>-1E-3</v>
      </c>
      <c r="W6">
        <v>-0.124</v>
      </c>
    </row>
    <row r="7" spans="1:23" x14ac:dyDescent="0.3">
      <c r="A7" s="1" t="s">
        <v>27</v>
      </c>
      <c r="B7">
        <v>0.42399999999999999</v>
      </c>
      <c r="C7">
        <v>0.48199999999999998</v>
      </c>
      <c r="D7">
        <v>0.40100000000000002</v>
      </c>
      <c r="E7">
        <v>0.53300000000000003</v>
      </c>
      <c r="F7">
        <v>0.40300000000000002</v>
      </c>
      <c r="G7">
        <v>-0.42899999999999999</v>
      </c>
      <c r="H7">
        <v>0.60799999999999998</v>
      </c>
      <c r="I7">
        <v>0.625</v>
      </c>
      <c r="J7">
        <v>0.625</v>
      </c>
      <c r="K7">
        <v>0.4</v>
      </c>
      <c r="L7">
        <v>0.19</v>
      </c>
      <c r="M7">
        <v>0.26500000000000001</v>
      </c>
      <c r="N7">
        <v>-0.43099999999999999</v>
      </c>
      <c r="O7">
        <v>-0.41299999999999998</v>
      </c>
      <c r="P7">
        <v>0.11</v>
      </c>
      <c r="Q7">
        <v>0.16900000000000001</v>
      </c>
      <c r="R7">
        <v>-0.17299999999999999</v>
      </c>
      <c r="S7">
        <v>-0.16200000000000001</v>
      </c>
      <c r="T7">
        <v>-6.3E-2</v>
      </c>
      <c r="U7">
        <v>0.47799999999999998</v>
      </c>
      <c r="V7">
        <v>0.1</v>
      </c>
      <c r="W7">
        <v>-0.4</v>
      </c>
    </row>
    <row r="8" spans="1:23" x14ac:dyDescent="0.3">
      <c r="A8" s="1" t="s">
        <v>28</v>
      </c>
      <c r="B8">
        <v>0.313</v>
      </c>
      <c r="C8">
        <v>0.32300000000000001</v>
      </c>
      <c r="D8">
        <v>0.109</v>
      </c>
      <c r="E8">
        <v>0.42599999999999999</v>
      </c>
      <c r="F8">
        <v>0.46500000000000002</v>
      </c>
      <c r="G8">
        <v>-0.153</v>
      </c>
      <c r="H8">
        <v>0.17599999999999999</v>
      </c>
      <c r="I8">
        <v>0.22600000000000001</v>
      </c>
      <c r="J8">
        <v>0.22600000000000001</v>
      </c>
      <c r="K8">
        <v>0.27600000000000002</v>
      </c>
      <c r="L8">
        <v>0.20499999999999999</v>
      </c>
      <c r="M8">
        <v>0.05</v>
      </c>
      <c r="N8">
        <v>-0.32400000000000001</v>
      </c>
      <c r="O8">
        <v>-0.37</v>
      </c>
      <c r="P8">
        <v>1.7999999999999999E-2</v>
      </c>
      <c r="Q8">
        <v>-6.2E-2</v>
      </c>
      <c r="R8">
        <v>-0.14000000000000001</v>
      </c>
      <c r="S8">
        <v>-0.14899999999999999</v>
      </c>
      <c r="T8">
        <v>-7.8E-2</v>
      </c>
      <c r="U8">
        <v>0.11</v>
      </c>
      <c r="V8">
        <v>-0.10199999999999999</v>
      </c>
      <c r="W8">
        <v>-0.246</v>
      </c>
    </row>
    <row r="11" spans="1:23" x14ac:dyDescent="0.3">
      <c r="A11" s="2" t="s">
        <v>34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" t="s">
        <v>11</v>
      </c>
      <c r="N11" s="1" t="s">
        <v>12</v>
      </c>
      <c r="O11" s="1" t="s">
        <v>13</v>
      </c>
      <c r="P11" s="1" t="s">
        <v>14</v>
      </c>
      <c r="Q11" s="1" t="s">
        <v>15</v>
      </c>
      <c r="R11" s="1" t="s">
        <v>16</v>
      </c>
      <c r="S11" s="1" t="s">
        <v>17</v>
      </c>
      <c r="T11" s="1" t="s">
        <v>18</v>
      </c>
      <c r="U11" s="1" t="s">
        <v>19</v>
      </c>
      <c r="V11" s="1" t="s">
        <v>20</v>
      </c>
      <c r="W11" s="1" t="s">
        <v>21</v>
      </c>
    </row>
    <row r="12" spans="1:23" x14ac:dyDescent="0.3">
      <c r="A12" s="1" t="s">
        <v>22</v>
      </c>
      <c r="B12">
        <v>-3.6999999999999998E-2</v>
      </c>
      <c r="C12">
        <v>8.0000000000000002E-3</v>
      </c>
      <c r="D12">
        <v>0.38700000000000001</v>
      </c>
      <c r="E12">
        <v>7.1999999999999995E-2</v>
      </c>
      <c r="F12">
        <v>3.7999999999999999E-2</v>
      </c>
      <c r="G12">
        <v>-8.3000000000000004E-2</v>
      </c>
      <c r="H12">
        <v>0.17699999999999999</v>
      </c>
      <c r="I12">
        <v>0.245</v>
      </c>
      <c r="J12">
        <v>0.245</v>
      </c>
      <c r="K12">
        <v>0.47499999999999998</v>
      </c>
      <c r="L12">
        <v>0.19700000000000001</v>
      </c>
      <c r="M12">
        <v>0.28999999999999998</v>
      </c>
      <c r="N12">
        <v>-0.316</v>
      </c>
      <c r="O12">
        <v>-0.32200000000000001</v>
      </c>
      <c r="P12">
        <v>0.219</v>
      </c>
      <c r="Q12">
        <v>0.17199999999999999</v>
      </c>
      <c r="R12">
        <v>-0.47699999999999998</v>
      </c>
      <c r="S12">
        <v>-0.53500000000000003</v>
      </c>
      <c r="T12">
        <v>-0.23899999999999999</v>
      </c>
      <c r="U12">
        <v>0.19700000000000001</v>
      </c>
      <c r="V12">
        <v>0.19400000000000001</v>
      </c>
      <c r="W12">
        <v>-0.111</v>
      </c>
    </row>
    <row r="13" spans="1:23" x14ac:dyDescent="0.3">
      <c r="A13" s="1" t="s">
        <v>23</v>
      </c>
      <c r="B13">
        <v>0.38500000000000001</v>
      </c>
      <c r="C13">
        <v>0.41</v>
      </c>
      <c r="D13">
        <v>0.219</v>
      </c>
      <c r="E13">
        <v>0.41699999999999998</v>
      </c>
      <c r="F13">
        <v>0.317</v>
      </c>
      <c r="G13">
        <v>-0.34799999999999998</v>
      </c>
      <c r="H13">
        <v>0.56200000000000006</v>
      </c>
      <c r="I13">
        <v>0.61599999999999999</v>
      </c>
      <c r="J13">
        <v>0.61599999999999999</v>
      </c>
      <c r="K13">
        <v>0.498</v>
      </c>
      <c r="L13">
        <v>0.20899999999999999</v>
      </c>
      <c r="M13">
        <v>0.627</v>
      </c>
      <c r="N13">
        <v>-0.39600000000000002</v>
      </c>
      <c r="O13">
        <v>-0.35399999999999998</v>
      </c>
      <c r="P13">
        <v>0.06</v>
      </c>
      <c r="Q13">
        <v>0.29199999999999998</v>
      </c>
      <c r="R13">
        <v>-3.5999999999999997E-2</v>
      </c>
      <c r="S13">
        <v>3.2000000000000001E-2</v>
      </c>
      <c r="T13">
        <v>-0.251</v>
      </c>
      <c r="U13">
        <v>0.47599999999999998</v>
      </c>
      <c r="V13">
        <v>0.2</v>
      </c>
      <c r="W13">
        <v>-0.33800000000000002</v>
      </c>
    </row>
    <row r="14" spans="1:23" x14ac:dyDescent="0.3">
      <c r="A14" s="1" t="s">
        <v>24</v>
      </c>
      <c r="B14">
        <v>-0.38100000000000001</v>
      </c>
      <c r="C14">
        <v>-0.34699999999999998</v>
      </c>
      <c r="D14">
        <v>0.26700000000000002</v>
      </c>
      <c r="E14">
        <v>-0.32</v>
      </c>
      <c r="F14">
        <v>-0.438</v>
      </c>
      <c r="G14">
        <v>-4.0000000000000001E-3</v>
      </c>
      <c r="H14">
        <v>-4.5999999999999999E-2</v>
      </c>
      <c r="I14">
        <v>-0.108</v>
      </c>
      <c r="J14">
        <v>-0.108</v>
      </c>
      <c r="K14">
        <v>6.0000000000000001E-3</v>
      </c>
      <c r="L14">
        <v>-0.127</v>
      </c>
      <c r="M14">
        <v>1.4999999999999999E-2</v>
      </c>
      <c r="N14">
        <v>-0.21099999999999999</v>
      </c>
      <c r="O14">
        <v>-0.22500000000000001</v>
      </c>
      <c r="P14">
        <v>0.13900000000000001</v>
      </c>
      <c r="Q14">
        <v>0.151</v>
      </c>
      <c r="R14">
        <v>-0.432</v>
      </c>
      <c r="S14">
        <v>-0.42499999999999999</v>
      </c>
      <c r="T14">
        <v>-8.5999999999999993E-2</v>
      </c>
      <c r="U14">
        <v>-4.9000000000000002E-2</v>
      </c>
      <c r="V14">
        <v>0.254</v>
      </c>
      <c r="W14">
        <v>-4.5999999999999999E-2</v>
      </c>
    </row>
    <row r="15" spans="1:23" x14ac:dyDescent="0.3">
      <c r="A15" s="1" t="s">
        <v>25</v>
      </c>
      <c r="B15">
        <v>-0.183</v>
      </c>
      <c r="C15">
        <v>-0.16</v>
      </c>
      <c r="D15">
        <v>0.20399999999999999</v>
      </c>
      <c r="E15">
        <v>-7.5999999999999998E-2</v>
      </c>
      <c r="F15">
        <v>8.6999999999999994E-2</v>
      </c>
      <c r="G15">
        <v>0.26600000000000001</v>
      </c>
      <c r="H15">
        <v>-0.254</v>
      </c>
      <c r="I15">
        <v>-0.13</v>
      </c>
      <c r="J15">
        <v>-0.13</v>
      </c>
      <c r="K15">
        <v>0.313</v>
      </c>
      <c r="L15">
        <v>0.315</v>
      </c>
      <c r="M15">
        <v>-8.6999999999999994E-2</v>
      </c>
      <c r="N15">
        <v>0.06</v>
      </c>
      <c r="O15">
        <v>-6.0000000000000001E-3</v>
      </c>
      <c r="P15">
        <v>0.191</v>
      </c>
      <c r="Q15">
        <v>-0.217</v>
      </c>
      <c r="R15">
        <v>-0.41099999999999998</v>
      </c>
      <c r="S15">
        <v>-0.45100000000000001</v>
      </c>
      <c r="T15">
        <v>-2.8000000000000001E-2</v>
      </c>
      <c r="U15">
        <v>-0.11700000000000001</v>
      </c>
      <c r="V15">
        <v>-0.17799999999999999</v>
      </c>
      <c r="W15">
        <v>0.23</v>
      </c>
    </row>
    <row r="16" spans="1:23" x14ac:dyDescent="0.3">
      <c r="A16" s="1" t="s">
        <v>26</v>
      </c>
      <c r="B16">
        <v>-7.0000000000000001E-3</v>
      </c>
      <c r="C16">
        <v>2.1999999999999999E-2</v>
      </c>
      <c r="D16">
        <v>0.25800000000000001</v>
      </c>
      <c r="E16">
        <v>6.4000000000000001E-2</v>
      </c>
      <c r="F16">
        <v>-0.05</v>
      </c>
      <c r="G16">
        <v>-0.19</v>
      </c>
      <c r="H16">
        <v>9.0999999999999998E-2</v>
      </c>
      <c r="I16">
        <v>4.9000000000000002E-2</v>
      </c>
      <c r="J16">
        <v>4.9000000000000002E-2</v>
      </c>
      <c r="K16">
        <v>0.114</v>
      </c>
      <c r="L16">
        <v>-0.113</v>
      </c>
      <c r="M16">
        <v>-7.5999999999999998E-2</v>
      </c>
      <c r="N16">
        <v>-0.20499999999999999</v>
      </c>
      <c r="O16">
        <v>-0.17100000000000001</v>
      </c>
      <c r="P16">
        <v>0.10299999999999999</v>
      </c>
      <c r="Q16">
        <v>0.217</v>
      </c>
      <c r="R16">
        <v>-0.29899999999999999</v>
      </c>
      <c r="S16">
        <v>-0.626</v>
      </c>
      <c r="T16">
        <v>-0.156</v>
      </c>
      <c r="U16">
        <v>3.4000000000000002E-2</v>
      </c>
      <c r="V16">
        <v>0.27</v>
      </c>
      <c r="W16">
        <v>-0.123</v>
      </c>
    </row>
    <row r="17" spans="1:23" x14ac:dyDescent="0.3">
      <c r="A17" s="1" t="s">
        <v>27</v>
      </c>
      <c r="B17">
        <v>-0.26700000000000002</v>
      </c>
      <c r="C17">
        <v>-0.25800000000000001</v>
      </c>
      <c r="D17">
        <v>7.4999999999999997E-2</v>
      </c>
      <c r="E17">
        <v>-0.20100000000000001</v>
      </c>
      <c r="F17">
        <v>-0.183</v>
      </c>
      <c r="G17">
        <v>0.126</v>
      </c>
      <c r="H17">
        <v>-0.188</v>
      </c>
      <c r="I17">
        <v>-0.28000000000000003</v>
      </c>
      <c r="J17">
        <v>-0.28000000000000003</v>
      </c>
      <c r="K17">
        <v>-0.128</v>
      </c>
      <c r="L17">
        <v>-4.4999999999999998E-2</v>
      </c>
      <c r="M17">
        <v>-0.13400000000000001</v>
      </c>
      <c r="N17">
        <v>5.2999999999999999E-2</v>
      </c>
      <c r="O17">
        <v>2E-3</v>
      </c>
      <c r="P17">
        <v>5.5E-2</v>
      </c>
      <c r="Q17">
        <v>-6.5000000000000002E-2</v>
      </c>
      <c r="R17">
        <v>-0.20899999999999999</v>
      </c>
      <c r="S17">
        <v>-0.121</v>
      </c>
      <c r="T17">
        <v>-1.7999999999999999E-2</v>
      </c>
      <c r="U17">
        <v>-0.13800000000000001</v>
      </c>
      <c r="V17">
        <v>1.0999999999999999E-2</v>
      </c>
      <c r="W17">
        <v>9.8000000000000004E-2</v>
      </c>
    </row>
    <row r="20" spans="1:23" x14ac:dyDescent="0.3">
      <c r="A20" s="2" t="s">
        <v>35</v>
      </c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1" t="s">
        <v>8</v>
      </c>
      <c r="K20" s="1" t="s">
        <v>9</v>
      </c>
      <c r="L20" s="1" t="s">
        <v>10</v>
      </c>
      <c r="M20" s="1" t="s">
        <v>11</v>
      </c>
      <c r="N20" s="1" t="s">
        <v>12</v>
      </c>
      <c r="O20" s="1" t="s">
        <v>13</v>
      </c>
      <c r="P20" s="1" t="s">
        <v>14</v>
      </c>
      <c r="Q20" s="1" t="s">
        <v>15</v>
      </c>
      <c r="R20" s="1" t="s">
        <v>16</v>
      </c>
      <c r="S20" s="1" t="s">
        <v>17</v>
      </c>
      <c r="T20" s="1" t="s">
        <v>18</v>
      </c>
      <c r="U20" s="1" t="s">
        <v>19</v>
      </c>
      <c r="V20" s="1" t="s">
        <v>20</v>
      </c>
      <c r="W20" s="1" t="s">
        <v>21</v>
      </c>
    </row>
    <row r="21" spans="1:23" x14ac:dyDescent="0.3">
      <c r="A21" s="1" t="s">
        <v>29</v>
      </c>
      <c r="B21">
        <v>7.2999999999999995E-2</v>
      </c>
      <c r="C21">
        <v>7.4999999999999997E-2</v>
      </c>
      <c r="D21">
        <v>-5.0000000000000001E-3</v>
      </c>
      <c r="E21">
        <v>3.2000000000000001E-2</v>
      </c>
      <c r="F21">
        <v>1.6E-2</v>
      </c>
      <c r="G21">
        <v>-3.6999999999999998E-2</v>
      </c>
      <c r="H21">
        <v>4.3999999999999997E-2</v>
      </c>
      <c r="I21">
        <v>8.3000000000000004E-2</v>
      </c>
      <c r="J21">
        <v>8.3000000000000004E-2</v>
      </c>
      <c r="K21">
        <v>0.154</v>
      </c>
      <c r="L21">
        <v>8.0000000000000002E-3</v>
      </c>
      <c r="M21">
        <v>0.128</v>
      </c>
      <c r="N21">
        <v>2E-3</v>
      </c>
      <c r="O21">
        <v>0.05</v>
      </c>
      <c r="P21">
        <v>9.6000000000000002E-2</v>
      </c>
      <c r="Q21">
        <v>0.24199999999999999</v>
      </c>
      <c r="R21">
        <v>-0.11899999999999999</v>
      </c>
      <c r="S21">
        <v>-6.7000000000000004E-2</v>
      </c>
      <c r="T21">
        <v>-0.20399999999999999</v>
      </c>
      <c r="U21">
        <v>-6.4000000000000001E-2</v>
      </c>
      <c r="V21">
        <v>0.20499999999999999</v>
      </c>
      <c r="W21">
        <v>5.3999999999999999E-2</v>
      </c>
    </row>
    <row r="22" spans="1:23" x14ac:dyDescent="0.3">
      <c r="A22" s="1" t="s">
        <v>30</v>
      </c>
      <c r="B22">
        <v>-9.2999999999999999E-2</v>
      </c>
      <c r="C22">
        <v>-9.4E-2</v>
      </c>
      <c r="D22">
        <v>-3.3000000000000002E-2</v>
      </c>
      <c r="E22">
        <v>-0.106</v>
      </c>
      <c r="F22">
        <v>6.4000000000000001E-2</v>
      </c>
      <c r="G22">
        <v>0.28999999999999998</v>
      </c>
      <c r="H22">
        <v>-0.16600000000000001</v>
      </c>
      <c r="I22">
        <v>-0.14099999999999999</v>
      </c>
      <c r="J22">
        <v>-0.14099999999999999</v>
      </c>
      <c r="K22">
        <v>1.7000000000000001E-2</v>
      </c>
      <c r="L22">
        <v>0.115</v>
      </c>
      <c r="M22">
        <v>-2.4E-2</v>
      </c>
      <c r="N22">
        <v>0.27600000000000002</v>
      </c>
      <c r="O22">
        <v>0.247</v>
      </c>
      <c r="P22">
        <v>1.2E-2</v>
      </c>
      <c r="Q22">
        <v>-0.25</v>
      </c>
      <c r="R22">
        <v>7.6999999999999999E-2</v>
      </c>
      <c r="S22">
        <v>0.187</v>
      </c>
      <c r="T22">
        <v>1.0999999999999999E-2</v>
      </c>
      <c r="U22">
        <v>-0.13900000000000001</v>
      </c>
      <c r="V22">
        <v>-0.28000000000000003</v>
      </c>
      <c r="W22">
        <v>0.23400000000000001</v>
      </c>
    </row>
    <row r="23" spans="1:23" x14ac:dyDescent="0.3">
      <c r="A23" s="1" t="s">
        <v>31</v>
      </c>
      <c r="B23">
        <v>0.11899999999999999</v>
      </c>
      <c r="C23">
        <v>0.121</v>
      </c>
      <c r="D23">
        <v>8.0000000000000002E-3</v>
      </c>
      <c r="E23">
        <v>7.3999999999999996E-2</v>
      </c>
      <c r="F23">
        <v>-1.2999999999999999E-2</v>
      </c>
      <c r="G23">
        <v>-0.158</v>
      </c>
      <c r="H23">
        <v>0.12</v>
      </c>
      <c r="I23">
        <v>0.155</v>
      </c>
      <c r="J23">
        <v>0.155</v>
      </c>
      <c r="K23">
        <v>0.17100000000000001</v>
      </c>
      <c r="L23">
        <v>-0.04</v>
      </c>
      <c r="M23">
        <v>0.161</v>
      </c>
      <c r="N23">
        <v>-0.108</v>
      </c>
      <c r="O23">
        <v>-3.7999999999999999E-2</v>
      </c>
      <c r="P23">
        <v>0.107</v>
      </c>
      <c r="Q23">
        <v>0.38900000000000001</v>
      </c>
      <c r="R23">
        <v>-0.17</v>
      </c>
      <c r="S23">
        <v>-0.152</v>
      </c>
      <c r="T23">
        <v>-0.23300000000000001</v>
      </c>
      <c r="U23">
        <v>-1.9E-2</v>
      </c>
      <c r="V23">
        <v>0.35699999999999998</v>
      </c>
      <c r="W23">
        <v>-0.03</v>
      </c>
    </row>
    <row r="24" spans="1:23" x14ac:dyDescent="0.3">
      <c r="A24" s="1" t="s">
        <v>32</v>
      </c>
      <c r="B24">
        <v>-0.11700000000000001</v>
      </c>
      <c r="C24">
        <v>-0.11899999999999999</v>
      </c>
      <c r="D24">
        <v>3.0000000000000001E-3</v>
      </c>
      <c r="E24">
        <v>-0.121</v>
      </c>
      <c r="F24">
        <v>-0.112</v>
      </c>
      <c r="G24">
        <v>7.2999999999999995E-2</v>
      </c>
      <c r="H24">
        <v>-0.112</v>
      </c>
      <c r="I24">
        <v>-7.1999999999999995E-2</v>
      </c>
      <c r="J24">
        <v>-7.1999999999999995E-2</v>
      </c>
      <c r="K24">
        <v>0.104</v>
      </c>
      <c r="L24">
        <v>-2.1999999999999999E-2</v>
      </c>
      <c r="M24">
        <v>-0.14299999999999999</v>
      </c>
      <c r="N24">
        <v>-4.9000000000000002E-2</v>
      </c>
      <c r="O24">
        <v>-2.5000000000000001E-2</v>
      </c>
      <c r="P24">
        <v>0.104</v>
      </c>
      <c r="Q24">
        <v>0.20399999999999999</v>
      </c>
      <c r="R24">
        <v>-0.25900000000000001</v>
      </c>
      <c r="S24">
        <v>-0.39800000000000002</v>
      </c>
      <c r="T24">
        <v>-0.22600000000000001</v>
      </c>
      <c r="U24">
        <v>-0.216</v>
      </c>
      <c r="V24">
        <v>0.24099999999999999</v>
      </c>
      <c r="W24">
        <v>4.5999999999999999E-2</v>
      </c>
    </row>
    <row r="27" spans="1:23" x14ac:dyDescent="0.3">
      <c r="A27" t="s">
        <v>36</v>
      </c>
      <c r="B27" s="1" t="s">
        <v>0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5</v>
      </c>
      <c r="H27" s="1" t="s">
        <v>6</v>
      </c>
      <c r="I27" s="1" t="s">
        <v>7</v>
      </c>
      <c r="J27" s="1" t="s">
        <v>8</v>
      </c>
      <c r="K27" s="1" t="s">
        <v>9</v>
      </c>
      <c r="L27" s="1" t="s">
        <v>10</v>
      </c>
      <c r="M27" s="1" t="s">
        <v>11</v>
      </c>
      <c r="N27" s="1" t="s">
        <v>12</v>
      </c>
      <c r="O27" s="1" t="s">
        <v>13</v>
      </c>
      <c r="P27" s="1" t="s">
        <v>14</v>
      </c>
      <c r="Q27" s="1" t="s">
        <v>15</v>
      </c>
      <c r="R27" s="1" t="s">
        <v>16</v>
      </c>
      <c r="S27" s="1" t="s">
        <v>17</v>
      </c>
      <c r="T27" s="1" t="s">
        <v>18</v>
      </c>
      <c r="U27" s="1" t="s">
        <v>19</v>
      </c>
      <c r="V27" s="1" t="s">
        <v>20</v>
      </c>
      <c r="W27" s="1" t="s">
        <v>21</v>
      </c>
    </row>
    <row r="28" spans="1:23" x14ac:dyDescent="0.3">
      <c r="A28" s="1" t="s">
        <v>22</v>
      </c>
      <c r="B28" t="str">
        <f>IF(ABS(B2)&gt;ABS(B12), "LLM", "Gardner")</f>
        <v>LLM</v>
      </c>
      <c r="C28" t="str">
        <f t="shared" ref="C28:W33" si="0">IF(ABS(C2)&gt;ABS(C12), "LLM", "Gardner")</f>
        <v>LLM</v>
      </c>
      <c r="D28" t="str">
        <f t="shared" si="0"/>
        <v>Gardner</v>
      </c>
      <c r="E28" t="str">
        <f t="shared" si="0"/>
        <v>LLM</v>
      </c>
      <c r="F28" t="str">
        <f t="shared" si="0"/>
        <v>LLM</v>
      </c>
      <c r="G28" t="str">
        <f t="shared" si="0"/>
        <v>LLM</v>
      </c>
      <c r="H28" t="str">
        <f t="shared" si="0"/>
        <v>LLM</v>
      </c>
      <c r="I28" t="str">
        <f t="shared" si="0"/>
        <v>LLM</v>
      </c>
      <c r="J28" t="str">
        <f t="shared" si="0"/>
        <v>LLM</v>
      </c>
      <c r="K28" t="str">
        <f t="shared" si="0"/>
        <v>Gardner</v>
      </c>
      <c r="L28" t="str">
        <f t="shared" si="0"/>
        <v>Gardner</v>
      </c>
      <c r="M28" t="str">
        <f t="shared" si="0"/>
        <v>Gardner</v>
      </c>
      <c r="N28" t="str">
        <f t="shared" si="0"/>
        <v>LLM</v>
      </c>
      <c r="O28" t="str">
        <f t="shared" si="0"/>
        <v>LLM</v>
      </c>
      <c r="P28" t="str">
        <f t="shared" si="0"/>
        <v>Gardner</v>
      </c>
      <c r="Q28" t="str">
        <f t="shared" si="0"/>
        <v>Gardner</v>
      </c>
      <c r="R28" t="str">
        <f t="shared" si="0"/>
        <v>Gardner</v>
      </c>
      <c r="S28" t="str">
        <f t="shared" si="0"/>
        <v>Gardner</v>
      </c>
      <c r="T28" t="str">
        <f t="shared" si="0"/>
        <v>Gardner</v>
      </c>
      <c r="U28" t="str">
        <f t="shared" si="0"/>
        <v>LLM</v>
      </c>
      <c r="V28" t="str">
        <f t="shared" si="0"/>
        <v>Gardner</v>
      </c>
      <c r="W28" t="str">
        <f t="shared" si="0"/>
        <v>LLM</v>
      </c>
    </row>
    <row r="29" spans="1:23" x14ac:dyDescent="0.3">
      <c r="A29" s="1" t="s">
        <v>23</v>
      </c>
      <c r="B29" t="str">
        <f t="shared" ref="B29:Q33" si="1">IF(ABS(B3)&gt;ABS(B13), "LLM", "Gardner")</f>
        <v>LLM</v>
      </c>
      <c r="C29" t="str">
        <f t="shared" si="1"/>
        <v>LLM</v>
      </c>
      <c r="D29" t="str">
        <f t="shared" si="1"/>
        <v>LLM</v>
      </c>
      <c r="E29" t="str">
        <f t="shared" si="1"/>
        <v>LLM</v>
      </c>
      <c r="F29" t="str">
        <f t="shared" si="1"/>
        <v>LLM</v>
      </c>
      <c r="G29" t="str">
        <f t="shared" si="1"/>
        <v>LLM</v>
      </c>
      <c r="H29" t="str">
        <f t="shared" si="1"/>
        <v>LLM</v>
      </c>
      <c r="I29" t="str">
        <f t="shared" si="1"/>
        <v>LLM</v>
      </c>
      <c r="J29" t="str">
        <f t="shared" si="1"/>
        <v>LLM</v>
      </c>
      <c r="K29" t="str">
        <f t="shared" si="1"/>
        <v>Gardner</v>
      </c>
      <c r="L29" t="str">
        <f t="shared" si="1"/>
        <v>Gardner</v>
      </c>
      <c r="M29" t="str">
        <f t="shared" si="1"/>
        <v>Gardner</v>
      </c>
      <c r="N29" t="str">
        <f t="shared" si="1"/>
        <v>Gardner</v>
      </c>
      <c r="O29" t="str">
        <f t="shared" si="1"/>
        <v>Gardner</v>
      </c>
      <c r="P29" t="str">
        <f t="shared" si="1"/>
        <v>Gardner</v>
      </c>
      <c r="Q29" t="str">
        <f t="shared" si="1"/>
        <v>Gardner</v>
      </c>
      <c r="R29" t="str">
        <f t="shared" si="0"/>
        <v>LLM</v>
      </c>
      <c r="S29" t="str">
        <f t="shared" si="0"/>
        <v>LLM</v>
      </c>
      <c r="T29" t="str">
        <f t="shared" si="0"/>
        <v>Gardner</v>
      </c>
      <c r="U29" t="str">
        <f t="shared" si="0"/>
        <v>LLM</v>
      </c>
      <c r="V29" t="str">
        <f t="shared" si="0"/>
        <v>Gardner</v>
      </c>
      <c r="W29" t="str">
        <f t="shared" si="0"/>
        <v>Gardner</v>
      </c>
    </row>
    <row r="30" spans="1:23" x14ac:dyDescent="0.3">
      <c r="A30" s="1" t="s">
        <v>24</v>
      </c>
      <c r="B30" t="str">
        <f t="shared" si="1"/>
        <v>Gardner</v>
      </c>
      <c r="C30" t="str">
        <f t="shared" si="0"/>
        <v>Gardner</v>
      </c>
      <c r="D30" t="str">
        <f t="shared" si="0"/>
        <v>Gardner</v>
      </c>
      <c r="E30" t="str">
        <f t="shared" si="0"/>
        <v>Gardner</v>
      </c>
      <c r="F30" t="str">
        <f t="shared" si="0"/>
        <v>Gardner</v>
      </c>
      <c r="G30" t="str">
        <f t="shared" si="0"/>
        <v>LLM</v>
      </c>
      <c r="H30" t="str">
        <f t="shared" si="0"/>
        <v>LLM</v>
      </c>
      <c r="I30" t="str">
        <f t="shared" si="0"/>
        <v>LLM</v>
      </c>
      <c r="J30" t="str">
        <f t="shared" si="0"/>
        <v>LLM</v>
      </c>
      <c r="K30" t="str">
        <f t="shared" si="0"/>
        <v>LLM</v>
      </c>
      <c r="L30" t="str">
        <f t="shared" si="0"/>
        <v>LLM</v>
      </c>
      <c r="M30" t="str">
        <f t="shared" si="0"/>
        <v>LLM</v>
      </c>
      <c r="N30" t="str">
        <f t="shared" si="0"/>
        <v>LLM</v>
      </c>
      <c r="O30" t="str">
        <f t="shared" si="0"/>
        <v>LLM</v>
      </c>
      <c r="P30" t="str">
        <f t="shared" si="0"/>
        <v>Gardner</v>
      </c>
      <c r="Q30" t="str">
        <f t="shared" si="0"/>
        <v>Gardner</v>
      </c>
      <c r="R30" t="str">
        <f t="shared" si="0"/>
        <v>Gardner</v>
      </c>
      <c r="S30" t="str">
        <f t="shared" si="0"/>
        <v>Gardner</v>
      </c>
      <c r="T30" t="str">
        <f t="shared" si="0"/>
        <v>Gardner</v>
      </c>
      <c r="U30" t="str">
        <f t="shared" si="0"/>
        <v>LLM</v>
      </c>
      <c r="V30" t="str">
        <f t="shared" si="0"/>
        <v>Gardner</v>
      </c>
      <c r="W30" t="str">
        <f t="shared" si="0"/>
        <v>LLM</v>
      </c>
    </row>
    <row r="31" spans="1:23" x14ac:dyDescent="0.3">
      <c r="A31" s="1" t="s">
        <v>25</v>
      </c>
      <c r="B31" t="str">
        <f t="shared" si="1"/>
        <v>LLM</v>
      </c>
      <c r="C31" t="str">
        <f t="shared" si="0"/>
        <v>LLM</v>
      </c>
      <c r="D31" t="str">
        <f t="shared" si="0"/>
        <v>Gardner</v>
      </c>
      <c r="E31" t="str">
        <f t="shared" si="0"/>
        <v>LLM</v>
      </c>
      <c r="F31" t="str">
        <f t="shared" si="0"/>
        <v>LLM</v>
      </c>
      <c r="G31" t="str">
        <f t="shared" si="0"/>
        <v>Gardner</v>
      </c>
      <c r="H31" t="str">
        <f t="shared" si="0"/>
        <v>Gardner</v>
      </c>
      <c r="I31" t="str">
        <f t="shared" si="0"/>
        <v>Gardner</v>
      </c>
      <c r="J31" t="str">
        <f t="shared" si="0"/>
        <v>Gardner</v>
      </c>
      <c r="K31" t="str">
        <f t="shared" si="0"/>
        <v>Gardner</v>
      </c>
      <c r="L31" t="str">
        <f t="shared" si="0"/>
        <v>Gardner</v>
      </c>
      <c r="M31" t="str">
        <f t="shared" si="0"/>
        <v>LLM</v>
      </c>
      <c r="N31" t="str">
        <f t="shared" si="0"/>
        <v>LLM</v>
      </c>
      <c r="O31" t="str">
        <f t="shared" si="0"/>
        <v>LLM</v>
      </c>
      <c r="P31" t="str">
        <f t="shared" si="0"/>
        <v>Gardner</v>
      </c>
      <c r="Q31" t="str">
        <f t="shared" si="0"/>
        <v>Gardner</v>
      </c>
      <c r="R31" t="str">
        <f t="shared" si="0"/>
        <v>Gardner</v>
      </c>
      <c r="S31" t="str">
        <f t="shared" si="0"/>
        <v>Gardner</v>
      </c>
      <c r="T31" t="str">
        <f t="shared" si="0"/>
        <v>LLM</v>
      </c>
      <c r="U31" t="str">
        <f t="shared" si="0"/>
        <v>Gardner</v>
      </c>
      <c r="V31" t="str">
        <f t="shared" si="0"/>
        <v>Gardner</v>
      </c>
      <c r="W31" t="str">
        <f t="shared" si="0"/>
        <v>LLM</v>
      </c>
    </row>
    <row r="32" spans="1:23" x14ac:dyDescent="0.3">
      <c r="A32" s="1" t="s">
        <v>26</v>
      </c>
      <c r="B32" t="str">
        <f t="shared" si="1"/>
        <v>LLM</v>
      </c>
      <c r="C32" t="str">
        <f t="shared" si="0"/>
        <v>LLM</v>
      </c>
      <c r="D32" t="str">
        <f t="shared" si="0"/>
        <v>Gardner</v>
      </c>
      <c r="E32" t="str">
        <f t="shared" si="0"/>
        <v>Gardner</v>
      </c>
      <c r="F32" t="str">
        <f t="shared" si="0"/>
        <v>Gardner</v>
      </c>
      <c r="G32" t="str">
        <f t="shared" si="0"/>
        <v>Gardner</v>
      </c>
      <c r="H32" t="str">
        <f t="shared" si="0"/>
        <v>Gardner</v>
      </c>
      <c r="I32" t="str">
        <f t="shared" si="0"/>
        <v>Gardner</v>
      </c>
      <c r="J32" t="str">
        <f t="shared" si="0"/>
        <v>Gardner</v>
      </c>
      <c r="K32" t="str">
        <f t="shared" si="0"/>
        <v>Gardner</v>
      </c>
      <c r="L32" t="str">
        <f t="shared" si="0"/>
        <v>Gardner</v>
      </c>
      <c r="M32" t="str">
        <f t="shared" si="0"/>
        <v>LLM</v>
      </c>
      <c r="N32" t="str">
        <f t="shared" si="0"/>
        <v>Gardner</v>
      </c>
      <c r="O32" t="str">
        <f t="shared" si="0"/>
        <v>LLM</v>
      </c>
      <c r="P32" t="str">
        <f t="shared" si="0"/>
        <v>Gardner</v>
      </c>
      <c r="Q32" t="str">
        <f t="shared" si="0"/>
        <v>Gardner</v>
      </c>
      <c r="R32" t="str">
        <f t="shared" si="0"/>
        <v>Gardner</v>
      </c>
      <c r="S32" t="str">
        <f t="shared" si="0"/>
        <v>Gardner</v>
      </c>
      <c r="T32" t="str">
        <f t="shared" si="0"/>
        <v>LLM</v>
      </c>
      <c r="U32" t="str">
        <f t="shared" si="0"/>
        <v>LLM</v>
      </c>
      <c r="V32" t="str">
        <f t="shared" si="0"/>
        <v>Gardner</v>
      </c>
      <c r="W32" t="str">
        <f t="shared" si="0"/>
        <v>LLM</v>
      </c>
    </row>
    <row r="33" spans="1:23" x14ac:dyDescent="0.3">
      <c r="A33" s="1" t="s">
        <v>27</v>
      </c>
      <c r="B33" t="str">
        <f t="shared" si="1"/>
        <v>LLM</v>
      </c>
      <c r="C33" t="str">
        <f t="shared" si="0"/>
        <v>LLM</v>
      </c>
      <c r="D33" t="str">
        <f t="shared" si="0"/>
        <v>LLM</v>
      </c>
      <c r="E33" t="str">
        <f t="shared" si="0"/>
        <v>LLM</v>
      </c>
      <c r="F33" t="str">
        <f t="shared" si="0"/>
        <v>LLM</v>
      </c>
      <c r="G33" t="str">
        <f t="shared" si="0"/>
        <v>LLM</v>
      </c>
      <c r="H33" t="str">
        <f t="shared" si="0"/>
        <v>LLM</v>
      </c>
      <c r="I33" t="str">
        <f t="shared" si="0"/>
        <v>LLM</v>
      </c>
      <c r="J33" t="str">
        <f t="shared" si="0"/>
        <v>LLM</v>
      </c>
      <c r="K33" t="str">
        <f t="shared" si="0"/>
        <v>LLM</v>
      </c>
      <c r="L33" t="str">
        <f t="shared" si="0"/>
        <v>LLM</v>
      </c>
      <c r="M33" t="str">
        <f t="shared" si="0"/>
        <v>LLM</v>
      </c>
      <c r="N33" t="str">
        <f t="shared" si="0"/>
        <v>LLM</v>
      </c>
      <c r="O33" t="str">
        <f t="shared" si="0"/>
        <v>LLM</v>
      </c>
      <c r="P33" t="str">
        <f t="shared" si="0"/>
        <v>LLM</v>
      </c>
      <c r="Q33" t="str">
        <f t="shared" si="0"/>
        <v>LLM</v>
      </c>
      <c r="R33" t="str">
        <f t="shared" si="0"/>
        <v>Gardner</v>
      </c>
      <c r="S33" t="str">
        <f t="shared" si="0"/>
        <v>LLM</v>
      </c>
      <c r="T33" t="str">
        <f t="shared" si="0"/>
        <v>LLM</v>
      </c>
      <c r="U33" t="str">
        <f t="shared" si="0"/>
        <v>LLM</v>
      </c>
      <c r="V33" t="str">
        <f t="shared" si="0"/>
        <v>LLM</v>
      </c>
      <c r="W33" t="str">
        <f t="shared" si="0"/>
        <v>LLM</v>
      </c>
    </row>
    <row r="35" spans="1:23" x14ac:dyDescent="0.3">
      <c r="A35" t="s">
        <v>37</v>
      </c>
      <c r="B35" s="1" t="s">
        <v>0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6</v>
      </c>
      <c r="I35" s="1" t="s">
        <v>7</v>
      </c>
      <c r="J35" s="1" t="s">
        <v>8</v>
      </c>
      <c r="K35" s="1" t="s">
        <v>9</v>
      </c>
      <c r="L35" s="1" t="s">
        <v>10</v>
      </c>
      <c r="M35" s="1" t="s">
        <v>11</v>
      </c>
      <c r="N35" s="1" t="s">
        <v>12</v>
      </c>
      <c r="O35" s="1" t="s">
        <v>13</v>
      </c>
      <c r="P35" s="1" t="s">
        <v>14</v>
      </c>
      <c r="Q35" s="1" t="s">
        <v>15</v>
      </c>
      <c r="R35" s="1" t="s">
        <v>16</v>
      </c>
      <c r="S35" s="1" t="s">
        <v>17</v>
      </c>
      <c r="T35" s="1" t="s">
        <v>18</v>
      </c>
      <c r="U35" s="1" t="s">
        <v>19</v>
      </c>
      <c r="V35" s="1" t="s">
        <v>20</v>
      </c>
      <c r="W35" s="1" t="s">
        <v>21</v>
      </c>
    </row>
    <row r="36" spans="1:23" x14ac:dyDescent="0.3">
      <c r="A36" s="1" t="s">
        <v>22</v>
      </c>
      <c r="B36" t="str">
        <f>IF(AND(ABS(B2)&gt;ABS(B12),ABS(B2)&gt;ABS(B21)), "LLM", IF( ABS(B12)&gt;ABS(B21), "Gardner", "Sharpe"))</f>
        <v>LLM</v>
      </c>
      <c r="C36" t="str">
        <f t="shared" ref="C36:W36" si="2">IF(AND(ABS(C2)&gt;ABS(C12),ABS(C2)&gt;ABS(C21)), "LLM", IF( ABS(C12)&gt;ABS(C21), "Gardner", "Sharpe"))</f>
        <v>LLM</v>
      </c>
      <c r="D36" t="str">
        <f t="shared" si="2"/>
        <v>Gardner</v>
      </c>
      <c r="E36" t="str">
        <f t="shared" si="2"/>
        <v>LLM</v>
      </c>
      <c r="F36" t="str">
        <f t="shared" si="2"/>
        <v>LLM</v>
      </c>
      <c r="G36" t="str">
        <f t="shared" si="2"/>
        <v>LLM</v>
      </c>
      <c r="H36" t="str">
        <f t="shared" si="2"/>
        <v>LLM</v>
      </c>
      <c r="I36" t="str">
        <f t="shared" si="2"/>
        <v>LLM</v>
      </c>
      <c r="J36" t="str">
        <f t="shared" si="2"/>
        <v>LLM</v>
      </c>
      <c r="K36" t="str">
        <f t="shared" si="2"/>
        <v>Gardner</v>
      </c>
      <c r="L36" t="str">
        <f t="shared" si="2"/>
        <v>Gardner</v>
      </c>
      <c r="M36" t="str">
        <f t="shared" si="2"/>
        <v>Gardner</v>
      </c>
      <c r="N36" t="str">
        <f t="shared" si="2"/>
        <v>LLM</v>
      </c>
      <c r="O36" t="str">
        <f t="shared" si="2"/>
        <v>LLM</v>
      </c>
      <c r="P36" t="str">
        <f t="shared" si="2"/>
        <v>Gardner</v>
      </c>
      <c r="Q36" t="str">
        <f t="shared" si="2"/>
        <v>Sharpe</v>
      </c>
      <c r="R36" t="str">
        <f t="shared" si="2"/>
        <v>Gardner</v>
      </c>
      <c r="S36" t="str">
        <f t="shared" si="2"/>
        <v>Gardner</v>
      </c>
      <c r="T36" t="str">
        <f t="shared" si="2"/>
        <v>Gardner</v>
      </c>
      <c r="U36" t="str">
        <f t="shared" si="2"/>
        <v>LLM</v>
      </c>
      <c r="V36" t="str">
        <f t="shared" si="2"/>
        <v>Sharpe</v>
      </c>
      <c r="W36" t="str">
        <f t="shared" si="2"/>
        <v>LLM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"/>
  <sheetViews>
    <sheetView topLeftCell="D1" workbookViewId="0">
      <selection sqref="A1:Z8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22</v>
      </c>
      <c r="B2">
        <v>-3.6999999999999998E-2</v>
      </c>
      <c r="C2">
        <v>8.0000000000000002E-3</v>
      </c>
      <c r="D2">
        <v>0.38700000000000001</v>
      </c>
      <c r="E2">
        <v>7.1999999999999995E-2</v>
      </c>
      <c r="F2">
        <v>3.7999999999999999E-2</v>
      </c>
      <c r="G2">
        <v>-8.3000000000000004E-2</v>
      </c>
      <c r="H2">
        <v>0.17699999999999999</v>
      </c>
      <c r="I2">
        <v>0.245</v>
      </c>
      <c r="J2">
        <v>0.245</v>
      </c>
      <c r="K2">
        <v>0.47499999999999998</v>
      </c>
      <c r="L2">
        <v>0.19700000000000001</v>
      </c>
      <c r="M2">
        <v>0.28999999999999998</v>
      </c>
      <c r="N2">
        <v>-0.316</v>
      </c>
      <c r="O2">
        <v>-0.32200000000000001</v>
      </c>
      <c r="P2">
        <v>0.219</v>
      </c>
      <c r="Q2">
        <v>0.17199999999999999</v>
      </c>
      <c r="R2">
        <v>-0.47699999999999998</v>
      </c>
      <c r="S2">
        <v>-0.53500000000000003</v>
      </c>
      <c r="T2">
        <v>-0.23899999999999999</v>
      </c>
      <c r="U2">
        <v>0.19700000000000001</v>
      </c>
      <c r="V2">
        <v>0.19400000000000001</v>
      </c>
      <c r="W2">
        <v>-0.111</v>
      </c>
    </row>
    <row r="3" spans="1:23" x14ac:dyDescent="0.3">
      <c r="A3" s="1" t="s">
        <v>23</v>
      </c>
      <c r="B3">
        <v>0.38500000000000001</v>
      </c>
      <c r="C3">
        <v>0.41</v>
      </c>
      <c r="D3">
        <v>0.219</v>
      </c>
      <c r="E3">
        <v>0.41699999999999998</v>
      </c>
      <c r="F3">
        <v>0.317</v>
      </c>
      <c r="G3">
        <v>-0.34799999999999998</v>
      </c>
      <c r="H3">
        <v>0.56200000000000006</v>
      </c>
      <c r="I3">
        <v>0.61599999999999999</v>
      </c>
      <c r="J3">
        <v>0.61599999999999999</v>
      </c>
      <c r="K3">
        <v>0.498</v>
      </c>
      <c r="L3">
        <v>0.20899999999999999</v>
      </c>
      <c r="M3">
        <v>0.627</v>
      </c>
      <c r="N3">
        <v>-0.39600000000000002</v>
      </c>
      <c r="O3">
        <v>-0.35399999999999998</v>
      </c>
      <c r="P3">
        <v>0.06</v>
      </c>
      <c r="Q3">
        <v>0.29199999999999998</v>
      </c>
      <c r="R3">
        <v>-3.5999999999999997E-2</v>
      </c>
      <c r="S3">
        <v>3.2000000000000001E-2</v>
      </c>
      <c r="T3">
        <v>-0.251</v>
      </c>
      <c r="U3">
        <v>0.47599999999999998</v>
      </c>
      <c r="V3">
        <v>0.2</v>
      </c>
      <c r="W3">
        <v>-0.33800000000000002</v>
      </c>
    </row>
    <row r="4" spans="1:23" x14ac:dyDescent="0.3">
      <c r="A4" s="1" t="s">
        <v>24</v>
      </c>
      <c r="B4">
        <v>-0.38100000000000001</v>
      </c>
      <c r="C4">
        <v>-0.34699999999999998</v>
      </c>
      <c r="D4">
        <v>0.26700000000000002</v>
      </c>
      <c r="E4">
        <v>-0.32</v>
      </c>
      <c r="F4">
        <v>-0.438</v>
      </c>
      <c r="G4">
        <v>-4.0000000000000001E-3</v>
      </c>
      <c r="H4">
        <v>-4.5999999999999999E-2</v>
      </c>
      <c r="I4">
        <v>-0.108</v>
      </c>
      <c r="J4">
        <v>-0.108</v>
      </c>
      <c r="K4">
        <v>6.0000000000000001E-3</v>
      </c>
      <c r="L4">
        <v>-0.127</v>
      </c>
      <c r="M4">
        <v>1.4999999999999999E-2</v>
      </c>
      <c r="N4">
        <v>-0.21099999999999999</v>
      </c>
      <c r="O4">
        <v>-0.22500000000000001</v>
      </c>
      <c r="P4">
        <v>0.13900000000000001</v>
      </c>
      <c r="Q4">
        <v>0.151</v>
      </c>
      <c r="R4">
        <v>-0.432</v>
      </c>
      <c r="S4">
        <v>-0.42499999999999999</v>
      </c>
      <c r="T4">
        <v>-8.5999999999999993E-2</v>
      </c>
      <c r="U4">
        <v>-4.9000000000000002E-2</v>
      </c>
      <c r="V4">
        <v>0.254</v>
      </c>
      <c r="W4">
        <v>-4.5999999999999999E-2</v>
      </c>
    </row>
    <row r="5" spans="1:23" x14ac:dyDescent="0.3">
      <c r="A5" s="1" t="s">
        <v>25</v>
      </c>
      <c r="B5">
        <v>-0.183</v>
      </c>
      <c r="C5">
        <v>-0.16</v>
      </c>
      <c r="D5">
        <v>0.20399999999999999</v>
      </c>
      <c r="E5">
        <v>-7.5999999999999998E-2</v>
      </c>
      <c r="F5">
        <v>8.6999999999999994E-2</v>
      </c>
      <c r="G5">
        <v>0.26600000000000001</v>
      </c>
      <c r="H5">
        <v>-0.254</v>
      </c>
      <c r="I5">
        <v>-0.13</v>
      </c>
      <c r="J5">
        <v>-0.13</v>
      </c>
      <c r="K5">
        <v>0.313</v>
      </c>
      <c r="L5">
        <v>0.315</v>
      </c>
      <c r="M5">
        <v>-8.6999999999999994E-2</v>
      </c>
      <c r="N5">
        <v>0.06</v>
      </c>
      <c r="O5">
        <v>-6.0000000000000001E-3</v>
      </c>
      <c r="P5">
        <v>0.191</v>
      </c>
      <c r="Q5">
        <v>-0.217</v>
      </c>
      <c r="R5">
        <v>-0.41099999999999998</v>
      </c>
      <c r="S5">
        <v>-0.45100000000000001</v>
      </c>
      <c r="T5">
        <v>-2.8000000000000001E-2</v>
      </c>
      <c r="U5">
        <v>-0.11700000000000001</v>
      </c>
      <c r="V5">
        <v>-0.17799999999999999</v>
      </c>
      <c r="W5">
        <v>0.23</v>
      </c>
    </row>
    <row r="6" spans="1:23" x14ac:dyDescent="0.3">
      <c r="A6" s="1" t="s">
        <v>26</v>
      </c>
      <c r="B6">
        <v>-7.0000000000000001E-3</v>
      </c>
      <c r="C6">
        <v>2.1999999999999999E-2</v>
      </c>
      <c r="D6">
        <v>0.25800000000000001</v>
      </c>
      <c r="E6">
        <v>6.4000000000000001E-2</v>
      </c>
      <c r="F6">
        <v>-0.05</v>
      </c>
      <c r="G6">
        <v>-0.19</v>
      </c>
      <c r="H6">
        <v>9.0999999999999998E-2</v>
      </c>
      <c r="I6">
        <v>4.9000000000000002E-2</v>
      </c>
      <c r="J6">
        <v>4.9000000000000002E-2</v>
      </c>
      <c r="K6">
        <v>0.114</v>
      </c>
      <c r="L6">
        <v>-0.113</v>
      </c>
      <c r="M6">
        <v>-7.5999999999999998E-2</v>
      </c>
      <c r="N6">
        <v>-0.20499999999999999</v>
      </c>
      <c r="O6">
        <v>-0.17100000000000001</v>
      </c>
      <c r="P6">
        <v>0.10299999999999999</v>
      </c>
      <c r="Q6">
        <v>0.217</v>
      </c>
      <c r="R6">
        <v>-0.29899999999999999</v>
      </c>
      <c r="S6">
        <v>-0.626</v>
      </c>
      <c r="T6">
        <v>-0.156</v>
      </c>
      <c r="U6">
        <v>3.4000000000000002E-2</v>
      </c>
      <c r="V6">
        <v>0.27</v>
      </c>
      <c r="W6">
        <v>-0.123</v>
      </c>
    </row>
    <row r="7" spans="1:23" x14ac:dyDescent="0.3">
      <c r="A7" s="1" t="s">
        <v>27</v>
      </c>
      <c r="B7">
        <v>-0.26700000000000002</v>
      </c>
      <c r="C7">
        <v>-0.25800000000000001</v>
      </c>
      <c r="D7">
        <v>7.4999999999999997E-2</v>
      </c>
      <c r="E7">
        <v>-0.20100000000000001</v>
      </c>
      <c r="F7">
        <v>-0.183</v>
      </c>
      <c r="G7">
        <v>0.126</v>
      </c>
      <c r="H7">
        <v>-0.188</v>
      </c>
      <c r="I7">
        <v>-0.28000000000000003</v>
      </c>
      <c r="J7">
        <v>-0.28000000000000003</v>
      </c>
      <c r="K7">
        <v>-0.128</v>
      </c>
      <c r="L7">
        <v>-4.4999999999999998E-2</v>
      </c>
      <c r="M7">
        <v>-0.13400000000000001</v>
      </c>
      <c r="N7">
        <v>5.2999999999999999E-2</v>
      </c>
      <c r="O7">
        <v>2E-3</v>
      </c>
      <c r="P7">
        <v>5.5E-2</v>
      </c>
      <c r="Q7">
        <v>-6.5000000000000002E-2</v>
      </c>
      <c r="R7">
        <v>-0.20899999999999999</v>
      </c>
      <c r="S7">
        <v>-0.121</v>
      </c>
      <c r="T7">
        <v>-1.7999999999999999E-2</v>
      </c>
      <c r="U7">
        <v>-0.13800000000000001</v>
      </c>
      <c r="V7">
        <v>1.0999999999999999E-2</v>
      </c>
      <c r="W7">
        <v>9.8000000000000004E-2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"/>
  <sheetViews>
    <sheetView topLeftCell="E1" workbookViewId="0">
      <selection sqref="A1:Z8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29</v>
      </c>
      <c r="B2">
        <v>7.2999999999999995E-2</v>
      </c>
      <c r="C2">
        <v>7.4999999999999997E-2</v>
      </c>
      <c r="D2">
        <v>-5.0000000000000001E-3</v>
      </c>
      <c r="E2">
        <v>3.2000000000000001E-2</v>
      </c>
      <c r="F2">
        <v>1.6E-2</v>
      </c>
      <c r="G2">
        <v>-3.6999999999999998E-2</v>
      </c>
      <c r="H2">
        <v>4.3999999999999997E-2</v>
      </c>
      <c r="I2">
        <v>8.3000000000000004E-2</v>
      </c>
      <c r="J2">
        <v>8.3000000000000004E-2</v>
      </c>
      <c r="K2">
        <v>0.154</v>
      </c>
      <c r="L2">
        <v>8.0000000000000002E-3</v>
      </c>
      <c r="M2">
        <v>0.128</v>
      </c>
      <c r="N2">
        <v>2E-3</v>
      </c>
      <c r="O2">
        <v>0.05</v>
      </c>
      <c r="P2">
        <v>9.6000000000000002E-2</v>
      </c>
      <c r="Q2">
        <v>0.24199999999999999</v>
      </c>
      <c r="R2">
        <v>-0.11899999999999999</v>
      </c>
      <c r="S2">
        <v>-6.7000000000000004E-2</v>
      </c>
      <c r="T2">
        <v>-0.20399999999999999</v>
      </c>
      <c r="U2">
        <v>-6.4000000000000001E-2</v>
      </c>
      <c r="V2">
        <v>0.20499999999999999</v>
      </c>
      <c r="W2">
        <v>5.3999999999999999E-2</v>
      </c>
    </row>
    <row r="3" spans="1:23" x14ac:dyDescent="0.3">
      <c r="A3" s="1" t="s">
        <v>30</v>
      </c>
      <c r="B3">
        <v>-9.2999999999999999E-2</v>
      </c>
      <c r="C3">
        <v>-9.4E-2</v>
      </c>
      <c r="D3">
        <v>-3.3000000000000002E-2</v>
      </c>
      <c r="E3">
        <v>-0.106</v>
      </c>
      <c r="F3">
        <v>6.4000000000000001E-2</v>
      </c>
      <c r="G3">
        <v>0.28999999999999998</v>
      </c>
      <c r="H3">
        <v>-0.16600000000000001</v>
      </c>
      <c r="I3">
        <v>-0.14099999999999999</v>
      </c>
      <c r="J3">
        <v>-0.14099999999999999</v>
      </c>
      <c r="K3">
        <v>1.7000000000000001E-2</v>
      </c>
      <c r="L3">
        <v>0.115</v>
      </c>
      <c r="M3">
        <v>-2.4E-2</v>
      </c>
      <c r="N3">
        <v>0.27600000000000002</v>
      </c>
      <c r="O3">
        <v>0.247</v>
      </c>
      <c r="P3">
        <v>1.2E-2</v>
      </c>
      <c r="Q3">
        <v>-0.25</v>
      </c>
      <c r="R3">
        <v>7.6999999999999999E-2</v>
      </c>
      <c r="S3">
        <v>0.187</v>
      </c>
      <c r="T3">
        <v>1.0999999999999999E-2</v>
      </c>
      <c r="U3">
        <v>-0.13900000000000001</v>
      </c>
      <c r="V3">
        <v>-0.28000000000000003</v>
      </c>
      <c r="W3">
        <v>0.23400000000000001</v>
      </c>
    </row>
    <row r="4" spans="1:23" x14ac:dyDescent="0.3">
      <c r="A4" s="1" t="s">
        <v>31</v>
      </c>
      <c r="B4">
        <v>0.11899999999999999</v>
      </c>
      <c r="C4">
        <v>0.121</v>
      </c>
      <c r="D4">
        <v>8.0000000000000002E-3</v>
      </c>
      <c r="E4">
        <v>7.3999999999999996E-2</v>
      </c>
      <c r="F4">
        <v>-1.2999999999999999E-2</v>
      </c>
      <c r="G4">
        <v>-0.158</v>
      </c>
      <c r="H4">
        <v>0.12</v>
      </c>
      <c r="I4">
        <v>0.155</v>
      </c>
      <c r="J4">
        <v>0.155</v>
      </c>
      <c r="K4">
        <v>0.17100000000000001</v>
      </c>
      <c r="L4">
        <v>-0.04</v>
      </c>
      <c r="M4">
        <v>0.161</v>
      </c>
      <c r="N4">
        <v>-0.108</v>
      </c>
      <c r="O4">
        <v>-3.7999999999999999E-2</v>
      </c>
      <c r="P4">
        <v>0.107</v>
      </c>
      <c r="Q4">
        <v>0.38900000000000001</v>
      </c>
      <c r="R4">
        <v>-0.17</v>
      </c>
      <c r="S4">
        <v>-0.152</v>
      </c>
      <c r="T4">
        <v>-0.23300000000000001</v>
      </c>
      <c r="U4">
        <v>-1.9E-2</v>
      </c>
      <c r="V4">
        <v>0.35699999999999998</v>
      </c>
      <c r="W4">
        <v>-0.03</v>
      </c>
    </row>
    <row r="5" spans="1:23" x14ac:dyDescent="0.3">
      <c r="A5" s="1" t="s">
        <v>32</v>
      </c>
      <c r="B5">
        <v>-0.11700000000000001</v>
      </c>
      <c r="C5">
        <v>-0.11899999999999999</v>
      </c>
      <c r="D5">
        <v>3.0000000000000001E-3</v>
      </c>
      <c r="E5">
        <v>-0.121</v>
      </c>
      <c r="F5">
        <v>-0.112</v>
      </c>
      <c r="G5">
        <v>7.2999999999999995E-2</v>
      </c>
      <c r="H5">
        <v>-0.112</v>
      </c>
      <c r="I5">
        <v>-7.1999999999999995E-2</v>
      </c>
      <c r="J5">
        <v>-7.1999999999999995E-2</v>
      </c>
      <c r="K5">
        <v>0.104</v>
      </c>
      <c r="L5">
        <v>-2.1999999999999999E-2</v>
      </c>
      <c r="M5">
        <v>-0.14299999999999999</v>
      </c>
      <c r="N5">
        <v>-4.9000000000000002E-2</v>
      </c>
      <c r="O5">
        <v>-2.5000000000000001E-2</v>
      </c>
      <c r="P5">
        <v>0.104</v>
      </c>
      <c r="Q5">
        <v>0.20399999999999999</v>
      </c>
      <c r="R5">
        <v>-0.25900000000000001</v>
      </c>
      <c r="S5">
        <v>-0.39800000000000002</v>
      </c>
      <c r="T5">
        <v>-0.22600000000000001</v>
      </c>
      <c r="U5">
        <v>-0.216</v>
      </c>
      <c r="V5">
        <v>0.24099999999999999</v>
      </c>
      <c r="W5">
        <v>4.5999999999999999E-2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LLM</vt:lpstr>
      <vt:lpstr>Gardner</vt:lpstr>
      <vt:lpstr>Sharpe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Luis ALEJO ALVAREZ</cp:lastModifiedBy>
  <dcterms:created xsi:type="dcterms:W3CDTF">2026-05-25T13:44:47Z</dcterms:created>
  <dcterms:modified xsi:type="dcterms:W3CDTF">2026-05-25T13:55:24Z</dcterms:modified>
</cp:coreProperties>
</file>